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aís\CURSOS\Excel - Santander e DIO\"/>
    </mc:Choice>
  </mc:AlternateContent>
  <xr:revisionPtr revIDLastSave="0" documentId="13_ncr:1_{994C506C-DC9A-4DCA-BE9B-79C390773A9C}" xr6:coauthVersionLast="47" xr6:coauthVersionMax="47" xr10:uidLastSave="{00000000-0000-0000-0000-000000000000}"/>
  <bookViews>
    <workbookView xWindow="19845" yWindow="15" windowWidth="18540" windowHeight="15405" xr2:uid="{5E5D181D-C1FF-4CD3-96EE-648FEAD78E4B}"/>
  </bookViews>
  <sheets>
    <sheet name="Planilha1" sheetId="1" r:id="rId1"/>
    <sheet name="Planilha2" sheetId="2" r:id="rId2"/>
  </sheets>
  <definedNames>
    <definedName name="aporte">Planilha1!$D$16</definedName>
    <definedName name="patrimonio">Planilha1!$D$19</definedName>
    <definedName name="qtd_anos">Planilha1!$D$17</definedName>
    <definedName name="rendimento_carteira">Planilha1!$D$12</definedName>
    <definedName name="salario">Planilha1!$D$11</definedName>
    <definedName name="sugestao_investimento">Planilha1!$D$13</definedName>
    <definedName name="taxa_mensal">Planilha1!$D$18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5" i="1" l="1"/>
  <c r="D35" i="1" s="1"/>
  <c r="C36" i="1"/>
  <c r="D36" i="1" s="1"/>
  <c r="C37" i="1"/>
  <c r="D37" i="1" s="1"/>
  <c r="C38" i="1"/>
  <c r="D38" i="1" s="1"/>
  <c r="C39" i="1"/>
  <c r="D39" i="1" s="1"/>
  <c r="C34" i="1"/>
  <c r="D34" i="1" s="1"/>
  <c r="H5" i="2"/>
  <c r="A10" i="2"/>
  <c r="A11" i="2"/>
  <c r="A12" i="2"/>
  <c r="A13" i="2"/>
  <c r="A14" i="2"/>
  <c r="A15" i="2"/>
  <c r="A16" i="2"/>
  <c r="A17" i="2"/>
  <c r="A18" i="2"/>
  <c r="A19" i="2"/>
  <c r="A20" i="2"/>
  <c r="A21" i="2"/>
  <c r="A5" i="2"/>
  <c r="A6" i="2"/>
  <c r="A7" i="2"/>
  <c r="A8" i="2"/>
  <c r="A9" i="2"/>
  <c r="A4" i="2"/>
  <c r="C31" i="1"/>
  <c r="D40" i="1" l="1"/>
  <c r="C25" i="1" l="1"/>
  <c r="D25" i="1" s="1"/>
  <c r="D19" i="1"/>
  <c r="D20" i="1" s="1"/>
  <c r="D13" i="1"/>
  <c r="C24" i="1"/>
  <c r="D24" i="1" s="1"/>
  <c r="C26" i="1"/>
  <c r="D26" i="1" s="1"/>
  <c r="C27" i="1"/>
  <c r="D27" i="1" s="1"/>
  <c r="C23" i="1"/>
  <c r="D23" i="1" s="1"/>
</calcChain>
</file>

<file path=xl/sharedStrings.xml><?xml version="1.0" encoding="utf-8"?>
<sst xmlns="http://schemas.openxmlformats.org/spreadsheetml/2006/main" count="70" uniqueCount="35">
  <si>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</si>
  <si>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</si>
  <si>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</si>
  <si>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</si>
  <si>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</si>
  <si>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</si>
  <si>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</si>
  <si>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</si>
  <si>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</si>
  <si>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</si>
  <si>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</si>
  <si>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</si>
  <si>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</si>
  <si>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CONFIGURAÇÕES</t>
  </si>
  <si>
    <t>Rendimento carteira</t>
  </si>
  <si>
    <t>Salário</t>
  </si>
  <si>
    <t>Sugestão de investimento</t>
  </si>
  <si>
    <t>PERFIL</t>
  </si>
  <si>
    <t>Agressivo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</si>
  <si>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</si>
  <si>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</si>
  <si>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</si>
  <si>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</si>
  <si>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</si>
  <si>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</si>
  <si>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</si>
  <si>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</si>
  <si>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</si>
  <si>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</si>
  <si>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</si>
  <si>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Conservador</t>
  </si>
  <si>
    <t>TIPOS DE FII</t>
  </si>
  <si>
    <t>CHAVE</t>
  </si>
  <si>
    <t>Moderado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</si>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</sst>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11"/>
      <color theme="1"/>
      <name val="Segoe UI"/>
      <family val="2"/>
    </font>
    <font>
      <b/>
      <sz val="12"/>
      <color theme="7" tint="-0.249977111117893"/>
      <name val="Segoe UI"/>
      <family val="2"/>
    </font>
    <font>
      <sz val="11"/>
      <color theme="7" tint="-0.249977111117893"/>
      <name val="Segoe UI"/>
      <family val="2"/>
    </font>
    <font>
      <b/>
      <sz val="11"/>
      <color theme="1"/>
      <name val="Segoe UI"/>
      <family val="2"/>
    </font>
    <font>
      <sz val="11"/>
      <color theme="7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/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thin">
        <color theme="0" tint="-0.34998626667073579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 tint="-0.34998626667073579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5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2" fillId="0" borderId="13" xfId="0" applyNumberFormat="1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0" fontId="2" fillId="0" borderId="15" xfId="0" applyNumberFormat="1" applyFont="1" applyBorder="1" applyAlignment="1">
      <alignment horizontal="center"/>
    </xf>
    <xf numFmtId="0" fontId="2" fillId="2" borderId="6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8" fontId="2" fillId="2" borderId="4" xfId="0" applyNumberFormat="1" applyFont="1" applyFill="1" applyBorder="1" applyAlignment="1">
      <alignment horizontal="center"/>
    </xf>
    <xf numFmtId="8" fontId="2" fillId="2" borderId="7" xfId="0" applyNumberFormat="1" applyFont="1" applyFill="1" applyBorder="1" applyAlignment="1">
      <alignment horizontal="center"/>
    </xf>
    <xf numFmtId="8" fontId="2" fillId="2" borderId="5" xfId="0" applyNumberFormat="1" applyFont="1" applyFill="1" applyBorder="1" applyAlignment="1">
      <alignment horizontal="center"/>
    </xf>
    <xf numFmtId="8" fontId="2" fillId="2" borderId="10" xfId="0" applyNumberFormat="1" applyFont="1" applyFill="1" applyBorder="1" applyAlignment="1">
      <alignment horizontal="center"/>
    </xf>
    <xf numFmtId="8" fontId="2" fillId="2" borderId="11" xfId="0" applyNumberFormat="1" applyFont="1" applyFill="1" applyBorder="1" applyAlignment="1">
      <alignment horizontal="center"/>
    </xf>
    <xf numFmtId="8" fontId="3" fillId="2" borderId="23" xfId="0" applyNumberFormat="1" applyFont="1" applyFill="1" applyBorder="1" applyAlignment="1">
      <alignment horizontal="center"/>
    </xf>
    <xf numFmtId="8" fontId="3" fillId="2" borderId="26" xfId="0" applyNumberFormat="1" applyFont="1" applyFill="1" applyBorder="1" applyAlignment="1">
      <alignment horizontal="center"/>
    </xf>
    <xf numFmtId="164" fontId="2" fillId="4" borderId="17" xfId="0" applyNumberFormat="1" applyFont="1" applyFill="1" applyBorder="1" applyAlignment="1">
      <alignment horizontal="center"/>
    </xf>
    <xf numFmtId="0" fontId="3" fillId="4" borderId="0" xfId="0" applyFont="1" applyFill="1" applyBorder="1"/>
    <xf numFmtId="0" fontId="7" fillId="5" borderId="0" xfId="0" applyFont="1" applyFill="1" applyBorder="1"/>
    <xf numFmtId="0" fontId="8" fillId="5" borderId="0" xfId="0" applyFont="1" applyFill="1" applyAlignment="1">
      <alignment horizontal="center"/>
    </xf>
    <xf numFmtId="0" fontId="6" fillId="5" borderId="0" xfId="0" applyFont="1" applyFill="1"/>
    <xf numFmtId="164" fontId="9" fillId="4" borderId="0" xfId="0" applyNumberFormat="1" applyFont="1" applyFill="1" applyAlignment="1">
      <alignment horizontal="center"/>
    </xf>
    <xf numFmtId="0" fontId="6" fillId="4" borderId="0" xfId="0" applyFont="1" applyFill="1"/>
    <xf numFmtId="0" fontId="6" fillId="0" borderId="0" xfId="0" applyFont="1"/>
    <xf numFmtId="0" fontId="9" fillId="7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9" fontId="6" fillId="0" borderId="0" xfId="0" applyNumberFormat="1" applyFont="1" applyAlignment="1">
      <alignment horizontal="center"/>
    </xf>
    <xf numFmtId="0" fontId="6" fillId="7" borderId="0" xfId="0" applyFont="1" applyFill="1"/>
    <xf numFmtId="164" fontId="9" fillId="7" borderId="0" xfId="0" applyNumberFormat="1" applyFont="1" applyFill="1" applyAlignment="1">
      <alignment horizontal="center"/>
    </xf>
    <xf numFmtId="164" fontId="6" fillId="4" borderId="0" xfId="0" applyNumberFormat="1" applyFont="1" applyFill="1" applyAlignment="1">
      <alignment horizontal="center"/>
    </xf>
    <xf numFmtId="0" fontId="0" fillId="0" borderId="27" xfId="0" applyBorder="1"/>
    <xf numFmtId="0" fontId="6" fillId="0" borderId="27" xfId="0" applyFont="1" applyBorder="1" applyAlignment="1">
      <alignment horizontal="center"/>
    </xf>
    <xf numFmtId="9" fontId="6" fillId="0" borderId="27" xfId="0" applyNumberFormat="1" applyFont="1" applyBorder="1" applyAlignment="1">
      <alignment horizontal="center"/>
    </xf>
    <xf numFmtId="9" fontId="6" fillId="0" borderId="0" xfId="0" applyNumberFormat="1" applyFont="1" applyFill="1" applyBorder="1" applyAlignment="1">
      <alignment horizontal="center"/>
    </xf>
    <xf numFmtId="9" fontId="6" fillId="0" borderId="27" xfId="0" applyNumberFormat="1" applyFont="1" applyFill="1" applyBorder="1" applyAlignment="1">
      <alignment horizontal="center"/>
    </xf>
    <xf numFmtId="0" fontId="10" fillId="5" borderId="0" xfId="0" applyFont="1" applyFill="1"/>
    <xf numFmtId="9" fontId="10" fillId="5" borderId="0" xfId="0" applyNumberFormat="1" applyFont="1" applyFill="1"/>
    <xf numFmtId="0" fontId="2" fillId="4" borderId="12" xfId="0" applyFont="1" applyFill="1" applyBorder="1" applyAlignment="1">
      <alignment horizontal="left"/>
    </xf>
    <xf numFmtId="0" fontId="2" fillId="4" borderId="18" xfId="0" applyFont="1" applyFill="1" applyBorder="1" applyAlignment="1">
      <alignment horizontal="left"/>
    </xf>
    <xf numFmtId="0" fontId="2" fillId="4" borderId="14" xfId="0" applyFont="1" applyFill="1" applyBorder="1" applyAlignment="1">
      <alignment horizontal="left"/>
    </xf>
    <xf numFmtId="0" fontId="2" fillId="4" borderId="19" xfId="0" applyFont="1" applyFill="1" applyBorder="1" applyAlignment="1">
      <alignment horizontal="left"/>
    </xf>
    <xf numFmtId="0" fontId="2" fillId="4" borderId="16" xfId="0" applyFont="1" applyFill="1" applyBorder="1" applyAlignment="1">
      <alignment horizontal="left"/>
    </xf>
    <xf numFmtId="0" fontId="2" fillId="4" borderId="20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left"/>
    </xf>
    <xf numFmtId="0" fontId="3" fillId="2" borderId="22" xfId="0" applyFont="1" applyFill="1" applyBorder="1" applyAlignment="1">
      <alignment horizontal="left"/>
    </xf>
    <xf numFmtId="0" fontId="3" fillId="2" borderId="24" xfId="0" applyFont="1" applyFill="1" applyBorder="1" applyAlignment="1">
      <alignment horizontal="left"/>
    </xf>
    <xf numFmtId="0" fontId="3" fillId="2" borderId="25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Planilha1!$C$34:$C$39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55-4BAC-B9E7-24938C183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361949</xdr:colOff>
      <xdr:row>0</xdr:row>
      <xdr:rowOff>57150</xdr:rowOff>
    </xdr:from>
    <xdr:to>
      <xdr:col>4</xdr:col>
      <xdr:colOff>0</xdr:colOff>
      <xdr:row>8</xdr:row>
      <xdr:rowOff>89355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8299018-45AB-4812-95D4-56889203FE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361949" y="57150"/>
          <a:ext cx="6372226" cy="1556205"/>
        </a:xfrm>
        <a:prstGeom prst="rect">
          <a:avLst/>
        </a:prstGeom>
      </xdr:spPr>
    </xdr:pic>
    <xdr:clientData/>
  </xdr:twoCellAnchor>
  <xdr:twoCellAnchor>
    <xdr:from>
      <xdr:col>1</xdr:col>
      <xdr:colOff>900112</xdr:colOff>
      <xdr:row>41</xdr:row>
      <xdr:rowOff>0</xdr:rowOff>
    </xdr:from>
    <xdr:to>
      <xdr:col>3</xdr:col>
      <xdr:colOff>166687</xdr:colOff>
      <xdr:row>55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C64478D-05CA-6D51-F980-D330C8740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23E3C-D8C3-4FBC-9443-75854C4D1C20}">
  <dimension ref="A9:G54"/>
  <sheetViews>
    <sheetView tabSelected="1" workbookViewId="0">
      <selection activeCell="E41" sqref="E41"/>
    </sheetView>
  </sheetViews>
  <sheetFormatPr defaultColWidth="0" defaultRowHeight="15" x14ac:dyDescent="0.25"/>
  <cols>
    <col min="1" max="1" width="5.7109375" customWidth="1"/>
    <col min="2" max="2" width="45.140625" customWidth="1"/>
    <col min="3" max="3" width="34.42578125" customWidth="1"/>
    <col min="4" max="4" width="15.7109375" customWidth="1"/>
    <col min="5" max="5" width="5.7109375" customWidth="1"/>
    <col min="6" max="6" width="5.28515625" hidden="1" customWidth="1"/>
    <col min="7" max="7" width="6.28515625" hidden="1" customWidth="1"/>
    <col min="8" max="8" width="9.140625" hidden="1" customWidth="1"/>
    <col min="9" max="16384" width="9.140625" hidden="1"/>
  </cols>
  <sheetData>
    <row r="9" spans="2:4" ht="15.75" thickBot="1" x14ac:dyDescent="0.3"/>
    <row r="10" spans="2:4" ht="30" customHeight="1" x14ac:dyDescent="0.25">
      <c r="B10" s="44" t="s">
        <v>13</v>
      </c>
      <c r="C10" s="45"/>
      <c r="D10" s="46"/>
    </row>
    <row r="11" spans="2:4" ht="17.25" x14ac:dyDescent="0.3">
      <c r="B11" s="38" t="s">
        <v>15</v>
      </c>
      <c r="C11" s="39"/>
      <c r="D11" s="4">
        <v>5000</v>
      </c>
    </row>
    <row r="12" spans="2:4" ht="17.25" x14ac:dyDescent="0.3">
      <c r="B12" s="40" t="s">
        <v>14</v>
      </c>
      <c r="C12" s="41"/>
      <c r="D12" s="6">
        <v>6.0000000000000001E-3</v>
      </c>
    </row>
    <row r="13" spans="2:4" ht="18" thickBot="1" x14ac:dyDescent="0.35">
      <c r="B13" s="42" t="s">
        <v>16</v>
      </c>
      <c r="C13" s="43"/>
      <c r="D13" s="17">
        <f>D11*30%</f>
        <v>1500</v>
      </c>
    </row>
    <row r="14" spans="2:4" ht="15.75" thickBot="1" x14ac:dyDescent="0.3"/>
    <row r="15" spans="2:4" ht="30" customHeight="1" x14ac:dyDescent="0.25">
      <c r="B15" s="47" t="s">
        <v>0</v>
      </c>
      <c r="C15" s="48"/>
      <c r="D15" s="53"/>
    </row>
    <row r="16" spans="2:4" ht="17.25" x14ac:dyDescent="0.3">
      <c r="B16" s="38" t="s">
        <v>1</v>
      </c>
      <c r="C16" s="39"/>
      <c r="D16" s="4">
        <v>500</v>
      </c>
    </row>
    <row r="17" spans="1:4" ht="17.25" x14ac:dyDescent="0.3">
      <c r="B17" s="40" t="s">
        <v>2</v>
      </c>
      <c r="C17" s="41"/>
      <c r="D17" s="5">
        <v>5</v>
      </c>
    </row>
    <row r="18" spans="1:4" ht="17.25" x14ac:dyDescent="0.3">
      <c r="B18" s="40" t="s">
        <v>3</v>
      </c>
      <c r="C18" s="41"/>
      <c r="D18" s="6">
        <v>1.0789999999999999E-2</v>
      </c>
    </row>
    <row r="19" spans="1:4" ht="17.25" x14ac:dyDescent="0.3">
      <c r="B19" s="49" t="s">
        <v>4</v>
      </c>
      <c r="C19" s="50"/>
      <c r="D19" s="15">
        <f>FV(taxa_mensal,qtd_anos*12,aporte*-1)</f>
        <v>41888.456999243819</v>
      </c>
    </row>
    <row r="20" spans="1:4" ht="18" thickBot="1" x14ac:dyDescent="0.35">
      <c r="B20" s="51" t="s">
        <v>5</v>
      </c>
      <c r="C20" s="52"/>
      <c r="D20" s="16">
        <f>patrimonio*rendimento_carteira</f>
        <v>251.33074199546292</v>
      </c>
    </row>
    <row r="21" spans="1:4" ht="15.75" thickBot="1" x14ac:dyDescent="0.3"/>
    <row r="22" spans="1:4" ht="30" customHeight="1" x14ac:dyDescent="0.25">
      <c r="B22" s="47" t="s">
        <v>11</v>
      </c>
      <c r="C22" s="48"/>
      <c r="D22" s="2" t="s">
        <v>12</v>
      </c>
    </row>
    <row r="23" spans="1:4" ht="17.25" x14ac:dyDescent="0.3">
      <c r="A23" s="1">
        <v>2</v>
      </c>
      <c r="B23" s="7" t="s">
        <v>6</v>
      </c>
      <c r="C23" s="10">
        <f>FV($D$18,$A23*12,$D$16*-1)</f>
        <v>13613.813648822608</v>
      </c>
      <c r="D23" s="11">
        <f>C23*rendimento_carteira</f>
        <v>81.682881892935654</v>
      </c>
    </row>
    <row r="24" spans="1:4" ht="17.25" x14ac:dyDescent="0.3">
      <c r="A24" s="1">
        <v>5</v>
      </c>
      <c r="B24" s="8" t="s">
        <v>7</v>
      </c>
      <c r="C24" s="12">
        <f>FV($D$18,$A24*12,$D$16*-1)</f>
        <v>41888.456999243819</v>
      </c>
      <c r="D24" s="11">
        <f>C24*rendimento_carteira</f>
        <v>251.33074199546292</v>
      </c>
    </row>
    <row r="25" spans="1:4" ht="17.25" x14ac:dyDescent="0.3">
      <c r="A25" s="1">
        <v>10</v>
      </c>
      <c r="B25" s="8" t="s">
        <v>8</v>
      </c>
      <c r="C25" s="12">
        <f>FV($D$18,$A25*12,$D$16*-1)</f>
        <v>121642.1062650861</v>
      </c>
      <c r="D25" s="11">
        <f>C25*rendimento_carteira</f>
        <v>729.85263759051657</v>
      </c>
    </row>
    <row r="26" spans="1:4" ht="17.25" x14ac:dyDescent="0.3">
      <c r="A26" s="1">
        <v>20</v>
      </c>
      <c r="B26" s="8" t="s">
        <v>9</v>
      </c>
      <c r="C26" s="12">
        <f>FV($D$18,$A26*12,$D$16*-1)</f>
        <v>562599.20004854025</v>
      </c>
      <c r="D26" s="11">
        <f>C26*rendimento_carteira</f>
        <v>3375.5952002912418</v>
      </c>
    </row>
    <row r="27" spans="1:4" ht="18" thickBot="1" x14ac:dyDescent="0.35">
      <c r="A27" s="1">
        <v>30</v>
      </c>
      <c r="B27" s="9" t="s">
        <v>10</v>
      </c>
      <c r="C27" s="13">
        <f>FV($D$18,$A27*12,$D$16*-1)</f>
        <v>2161084.8275023573</v>
      </c>
      <c r="D27" s="14">
        <f>C27*rendimento_carteira</f>
        <v>12966.508965014144</v>
      </c>
    </row>
    <row r="30" spans="1:4" ht="18" customHeight="1" x14ac:dyDescent="0.3">
      <c r="B30" s="19" t="s">
        <v>17</v>
      </c>
      <c r="C30" s="20" t="s">
        <v>33</v>
      </c>
      <c r="D30" s="21"/>
    </row>
    <row r="31" spans="1:4" ht="17.25" x14ac:dyDescent="0.3">
      <c r="B31" s="18" t="s">
        <v>19</v>
      </c>
      <c r="C31" s="22">
        <f>aporte</f>
        <v>500</v>
      </c>
      <c r="D31" s="23"/>
    </row>
    <row r="32" spans="1:4" ht="16.5" x14ac:dyDescent="0.3">
      <c r="B32" s="24"/>
      <c r="C32" s="24"/>
      <c r="D32" s="24"/>
    </row>
    <row r="33" spans="2:4" ht="16.5" x14ac:dyDescent="0.3">
      <c r="B33" s="25" t="s">
        <v>20</v>
      </c>
      <c r="C33" s="25" t="s">
        <v>21</v>
      </c>
      <c r="D33" s="25" t="s">
        <v>22</v>
      </c>
    </row>
    <row r="34" spans="2:4" ht="16.5" x14ac:dyDescent="0.3">
      <c r="B34" s="26" t="s">
        <v>23</v>
      </c>
      <c r="C34" s="27">
        <f>VLOOKUP($C$30&amp;"-"&amp;B34,Planilha2!$A1:$D21,4,FALSE)</f>
        <v>0.32</v>
      </c>
      <c r="D34" s="30">
        <f>C34*$C$31</f>
        <v>160</v>
      </c>
    </row>
    <row r="35" spans="2:4" ht="16.5" x14ac:dyDescent="0.3">
      <c r="B35" s="26" t="s">
        <v>24</v>
      </c>
      <c r="C35" s="27">
        <f>VLOOKUP($C$30&amp;"-"&amp;B35,Planilha2!$A2:$D22,4,FALSE)</f>
        <v>0.35</v>
      </c>
      <c r="D35" s="30">
        <f t="shared" ref="D35:D39" si="0">C35*$C$31</f>
        <v>175</v>
      </c>
    </row>
    <row r="36" spans="2:4" ht="16.5" x14ac:dyDescent="0.3">
      <c r="B36" s="26" t="s">
        <v>25</v>
      </c>
      <c r="C36" s="27">
        <f>VLOOKUP($C$30&amp;"-"&amp;B36,Planilha2!$A3:$D23,4,FALSE)</f>
        <v>0.08</v>
      </c>
      <c r="D36" s="30">
        <f t="shared" si="0"/>
        <v>40</v>
      </c>
    </row>
    <row r="37" spans="2:4" ht="16.5" x14ac:dyDescent="0.3">
      <c r="B37" s="26" t="s">
        <v>26</v>
      </c>
      <c r="C37" s="27">
        <f>VLOOKUP($C$30&amp;"-"&amp;B37,Planilha2!$A4:$D24,4,FALSE)</f>
        <v>0.05</v>
      </c>
      <c r="D37" s="30">
        <f t="shared" si="0"/>
        <v>25</v>
      </c>
    </row>
    <row r="38" spans="2:4" ht="16.5" x14ac:dyDescent="0.3">
      <c r="B38" s="26" t="s">
        <v>27</v>
      </c>
      <c r="C38" s="27">
        <f>VLOOKUP($C$30&amp;"-"&amp;B38,Planilha2!$A5:$D25,4,FALSE)</f>
        <v>0.1</v>
      </c>
      <c r="D38" s="30">
        <f t="shared" si="0"/>
        <v>50</v>
      </c>
    </row>
    <row r="39" spans="2:4" ht="16.5" x14ac:dyDescent="0.3">
      <c r="B39" s="26" t="s">
        <v>28</v>
      </c>
      <c r="C39" s="27">
        <f>VLOOKUP($C$30&amp;"-"&amp;B39,Planilha2!$A6:$D26,4,FALSE)</f>
        <v>0.1</v>
      </c>
      <c r="D39" s="30">
        <f t="shared" si="0"/>
        <v>50</v>
      </c>
    </row>
    <row r="40" spans="2:4" ht="16.5" x14ac:dyDescent="0.3">
      <c r="B40" s="28"/>
      <c r="C40" s="28"/>
      <c r="D40" s="29">
        <f>SUM(D34:D39)</f>
        <v>500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</sheetData>
  <mergeCells count="11">
    <mergeCell ref="B11:C11"/>
    <mergeCell ref="B12:C12"/>
    <mergeCell ref="B13:C13"/>
    <mergeCell ref="B10:D10"/>
    <mergeCell ref="B22:C22"/>
    <mergeCell ref="B16:C16"/>
    <mergeCell ref="B17:C17"/>
    <mergeCell ref="B18:C18"/>
    <mergeCell ref="B19:C19"/>
    <mergeCell ref="B20:C20"/>
    <mergeCell ref="B15:D15"/>
  </mergeCells>
  <dataValidations count="1">
    <dataValidation type="list" allowBlank="1" showInputMessage="1" showErrorMessage="1" sqref="C30" xr:uid="{68AD794B-749D-4831-B604-386BF4F226A2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5E6B1-6C12-4166-B790-D2C07F1A2F2F}">
  <dimension ref="A2:H21"/>
  <sheetViews>
    <sheetView workbookViewId="0">
      <selection activeCell="G11" sqref="G11"/>
    </sheetView>
  </sheetViews>
  <sheetFormatPr defaultRowHeight="15" x14ac:dyDescent="0.25"/>
  <cols>
    <col min="1" max="1" width="31.28515625" bestFit="1" customWidth="1"/>
    <col min="2" max="2" width="14.7109375" customWidth="1"/>
    <col min="3" max="3" width="20.85546875" bestFit="1" customWidth="1"/>
    <col min="7" max="7" width="17" bestFit="1" customWidth="1"/>
    <col min="8" max="8" width="20.85546875" customWidth="1"/>
  </cols>
  <sheetData>
    <row r="2" spans="1:8" ht="16.5" x14ac:dyDescent="0.3">
      <c r="C2" s="26"/>
    </row>
    <row r="3" spans="1:8" ht="16.5" x14ac:dyDescent="0.3">
      <c r="A3" t="s">
        <v>32</v>
      </c>
      <c r="B3" t="s">
        <v>17</v>
      </c>
      <c r="C3" s="26" t="s">
        <v>31</v>
      </c>
      <c r="D3" s="3" t="s">
        <v>29</v>
      </c>
    </row>
    <row r="4" spans="1:8" ht="16.5" x14ac:dyDescent="0.3">
      <c r="A4" t="str">
        <f>B4&amp;"-"&amp;C4</f>
        <v>Conservador-PAPEL</v>
      </c>
      <c r="B4" t="s">
        <v>30</v>
      </c>
      <c r="C4" s="26" t="s">
        <v>23</v>
      </c>
      <c r="D4" s="27">
        <v>0.3</v>
      </c>
    </row>
    <row r="5" spans="1:8" ht="16.5" x14ac:dyDescent="0.3">
      <c r="A5" t="str">
        <f t="shared" ref="A5:A21" si="0">B5&amp;"-"&amp;C5</f>
        <v>Conservador-TIJOLO</v>
      </c>
      <c r="B5" t="s">
        <v>30</v>
      </c>
      <c r="C5" s="26" t="s">
        <v>24</v>
      </c>
      <c r="D5" s="27">
        <v>0.5</v>
      </c>
      <c r="G5" s="36" t="s">
        <v>34</v>
      </c>
      <c r="H5" s="37">
        <f>VLOOKUP(G5,$A:$D,4,)</f>
        <v>0.35</v>
      </c>
    </row>
    <row r="6" spans="1:8" ht="16.5" x14ac:dyDescent="0.3">
      <c r="A6" t="str">
        <f t="shared" si="0"/>
        <v>Conservador-HÍBRIDOS</v>
      </c>
      <c r="B6" t="s">
        <v>30</v>
      </c>
      <c r="C6" s="26" t="s">
        <v>25</v>
      </c>
      <c r="D6" s="27">
        <v>0.1</v>
      </c>
    </row>
    <row r="7" spans="1:8" ht="16.5" x14ac:dyDescent="0.3">
      <c r="A7" t="str">
        <f t="shared" si="0"/>
        <v>Conservador-FOFs</v>
      </c>
      <c r="B7" t="s">
        <v>30</v>
      </c>
      <c r="C7" s="26" t="s">
        <v>26</v>
      </c>
      <c r="D7" s="27">
        <v>0.1</v>
      </c>
    </row>
    <row r="8" spans="1:8" ht="16.5" x14ac:dyDescent="0.3">
      <c r="A8" t="str">
        <f t="shared" si="0"/>
        <v>Conservador-DESENVOLVIMENTO</v>
      </c>
      <c r="B8" t="s">
        <v>30</v>
      </c>
      <c r="C8" s="26" t="s">
        <v>27</v>
      </c>
      <c r="D8" s="27">
        <v>0</v>
      </c>
    </row>
    <row r="9" spans="1:8" ht="17.25" thickBot="1" x14ac:dyDescent="0.35">
      <c r="A9" s="31" t="str">
        <f t="shared" si="0"/>
        <v>Conservador-HOTELARIAS</v>
      </c>
      <c r="B9" s="31" t="s">
        <v>30</v>
      </c>
      <c r="C9" s="32" t="s">
        <v>28</v>
      </c>
      <c r="D9" s="33">
        <v>0</v>
      </c>
    </row>
    <row r="10" spans="1:8" ht="16.5" x14ac:dyDescent="0.3">
      <c r="A10" t="str">
        <f t="shared" si="0"/>
        <v>Moderado-PAPEL</v>
      </c>
      <c r="B10" t="s">
        <v>33</v>
      </c>
      <c r="C10" s="26" t="s">
        <v>23</v>
      </c>
      <c r="D10" s="34">
        <v>0.32</v>
      </c>
    </row>
    <row r="11" spans="1:8" ht="16.5" x14ac:dyDescent="0.3">
      <c r="A11" t="str">
        <f t="shared" si="0"/>
        <v>Moderado-TIJOLO</v>
      </c>
      <c r="B11" t="s">
        <v>33</v>
      </c>
      <c r="C11" s="26" t="s">
        <v>24</v>
      </c>
      <c r="D11" s="34">
        <v>0.35</v>
      </c>
    </row>
    <row r="12" spans="1:8" ht="16.5" x14ac:dyDescent="0.3">
      <c r="A12" t="str">
        <f t="shared" si="0"/>
        <v>Moderado-HÍBRIDOS</v>
      </c>
      <c r="B12" t="s">
        <v>33</v>
      </c>
      <c r="C12" s="26" t="s">
        <v>25</v>
      </c>
      <c r="D12" s="34">
        <v>0.08</v>
      </c>
    </row>
    <row r="13" spans="1:8" ht="16.5" x14ac:dyDescent="0.3">
      <c r="A13" t="str">
        <f t="shared" si="0"/>
        <v>Moderado-FOFs</v>
      </c>
      <c r="B13" t="s">
        <v>33</v>
      </c>
      <c r="C13" s="26" t="s">
        <v>26</v>
      </c>
      <c r="D13" s="34">
        <v>0.05</v>
      </c>
    </row>
    <row r="14" spans="1:8" ht="16.5" x14ac:dyDescent="0.3">
      <c r="A14" t="str">
        <f t="shared" si="0"/>
        <v>Moderado-DESENVOLVIMENTO</v>
      </c>
      <c r="B14" t="s">
        <v>33</v>
      </c>
      <c r="C14" s="26" t="s">
        <v>27</v>
      </c>
      <c r="D14" s="34">
        <v>0.1</v>
      </c>
    </row>
    <row r="15" spans="1:8" ht="17.25" thickBot="1" x14ac:dyDescent="0.35">
      <c r="A15" s="31" t="str">
        <f t="shared" si="0"/>
        <v>Moderado-HOTELARIAS</v>
      </c>
      <c r="B15" s="31" t="s">
        <v>33</v>
      </c>
      <c r="C15" s="32" t="s">
        <v>28</v>
      </c>
      <c r="D15" s="35">
        <v>0.1</v>
      </c>
    </row>
    <row r="16" spans="1:8" ht="16.5" x14ac:dyDescent="0.3">
      <c r="A16" t="str">
        <f t="shared" si="0"/>
        <v>Agressivo-PAPEL</v>
      </c>
      <c r="B16" t="s">
        <v>18</v>
      </c>
      <c r="C16" s="26" t="s">
        <v>23</v>
      </c>
      <c r="D16" s="34">
        <v>0.5</v>
      </c>
    </row>
    <row r="17" spans="1:4" ht="16.5" x14ac:dyDescent="0.3">
      <c r="A17" t="str">
        <f t="shared" si="0"/>
        <v>Agressivo-TIJOLO</v>
      </c>
      <c r="B17" t="s">
        <v>18</v>
      </c>
      <c r="C17" s="26" t="s">
        <v>24</v>
      </c>
      <c r="D17" s="34">
        <v>0.1</v>
      </c>
    </row>
    <row r="18" spans="1:4" ht="16.5" x14ac:dyDescent="0.3">
      <c r="A18" t="str">
        <f t="shared" si="0"/>
        <v>Agressivo-HÍBRIDOS</v>
      </c>
      <c r="B18" t="s">
        <v>18</v>
      </c>
      <c r="C18" s="26" t="s">
        <v>25</v>
      </c>
      <c r="D18" s="34">
        <v>0.05</v>
      </c>
    </row>
    <row r="19" spans="1:4" ht="16.5" x14ac:dyDescent="0.3">
      <c r="A19" t="str">
        <f t="shared" si="0"/>
        <v>Agressivo-FOFs</v>
      </c>
      <c r="B19" t="s">
        <v>18</v>
      </c>
      <c r="C19" s="26" t="s">
        <v>26</v>
      </c>
      <c r="D19" s="34">
        <v>0.05</v>
      </c>
    </row>
    <row r="20" spans="1:4" ht="16.5" x14ac:dyDescent="0.3">
      <c r="A20" t="str">
        <f t="shared" si="0"/>
        <v>Agressivo-DESENVOLVIMENTO</v>
      </c>
      <c r="B20" t="s">
        <v>18</v>
      </c>
      <c r="C20" s="26" t="s">
        <v>27</v>
      </c>
      <c r="D20" s="34">
        <v>0.2</v>
      </c>
    </row>
    <row r="21" spans="1:4" ht="16.5" x14ac:dyDescent="0.3">
      <c r="A21" t="str">
        <f t="shared" si="0"/>
        <v>Agressivo-HOTELARIAS</v>
      </c>
      <c r="B21" t="s">
        <v>18</v>
      </c>
      <c r="C21" s="26" t="s">
        <v>28</v>
      </c>
      <c r="D21" s="3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2026-02-11T00:32:35Z</dcterms:created>
  <dcterms:modified xsi:type="dcterms:W3CDTF">2026-02-11T18:16:19Z</dcterms:modified>
</cp:coreProperties>
</file>